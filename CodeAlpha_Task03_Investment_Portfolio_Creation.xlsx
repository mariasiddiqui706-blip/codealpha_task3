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8962b451f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b1f9c614e7c489a"/>
    <x:sheet xmlns:r="http://schemas.openxmlformats.org/officeDocument/2006/relationships" name="Portfolio Allocation" sheetId="2" r:id="R0bbed914158d43e4"/>
    <x:sheet xmlns:r="http://schemas.openxmlformats.org/officeDocument/2006/relationships" name="Assumptions" sheetId="3" r:id="Reb322c22706d4d57"/>
    <x:sheet xmlns:r="http://schemas.openxmlformats.org/officeDocument/2006/relationships" name="Sources &amp; Notes" sheetId="4" r:id="R20c7a1b6277343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%"/>
    <x:numFmt numFmtId="202" formatCode="₹#,##0;[Red](₹#,##0);-"/>
    <x:numFmt numFmtId="203" formatCode="#,##0.000000"/>
    <x:numFmt numFmtId="204" formatCode="#,##0.0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000000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3" fillId="4" borderId="0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left"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ad0f7b55b4fa9" /><Relationship Type="http://schemas.openxmlformats.org/officeDocument/2006/relationships/theme" Target="/xl/theme/theme1.xml" Id="R9b55655902764e39" /><Relationship Type="http://schemas.openxmlformats.org/officeDocument/2006/relationships/sharedStrings" Target="/xl/sharedStrings.xml" Id="R65ba594559a44082" /><Relationship Type="http://schemas.openxmlformats.org/officeDocument/2006/relationships/worksheet" Target="/xl/worksheets/sheet1.xml" Id="Reb1f9c614e7c489a" /><Relationship Type="http://schemas.openxmlformats.org/officeDocument/2006/relationships/worksheet" Target="/xl/worksheets/sheet2.xml" Id="R0bbed914158d43e4" /><Relationship Type="http://schemas.openxmlformats.org/officeDocument/2006/relationships/worksheet" Target="/xl/worksheets/sheet3.xml" Id="Reb322c22706d4d57" /><Relationship Type="http://schemas.openxmlformats.org/officeDocument/2006/relationships/worksheet" Target="/xl/worksheets/sheet4.xml" Id="R20c7a1b6277343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82f106c88245b7" /><Relationship Type="http://schemas.openxmlformats.org/officeDocument/2006/relationships/chart" Target="/xl/drawings/charts/chart2.xml" Id="Ra052739320bd4f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Asset Class Allocation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Amount (₹)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₹#,##0;[Red](₹#,##0);-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Investment-Wise Allocation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Asset Class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Allocation %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'Dashboard'!$C$12:$C$19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Amount (₹)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'Dashboard'!$D$12:$D$19</c:f>
              <c:numCache>
                <c:formatCode>₹#,##0;[Red](₹#,##0);-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82f106c88245b7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52739320bd4f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shboardHoldingsTable" displayName="DashboardHoldingsTable" ref="A11:E19" headerRowCount="1">
  <x:tableColumns count="5">
    <x:tableColumn id="1" name="Investment"/>
    <x:tableColumn id="2" name="Asset Class"/>
    <x:tableColumn id="3" name="Allocation %"/>
    <x:tableColumn id="4" name="Amount (₹)"/>
    <x:tableColumn id="5" name="Risk"/>
  </x:tableColumns>
  <x:tableStyleInfo name="TableStyleMedium2" showRowStripes="1"/>
</x:table>
</file>

<file path=xl/tables/table2.xml><?xml version="1.0" encoding="utf-8"?>
<x:table xmlns:x="http://schemas.openxmlformats.org/spreadsheetml/2006/main" id="1" name="PortfolioHoldingsTable" displayName="PortfolioHoldingsTable" ref="A4:M12" headerRowCount="1">
  <x:tableColumns count="13">
    <x:tableColumn id="1" name="Asset Class"/>
    <x:tableColumn id="2" name="Investment"/>
    <x:tableColumn id="3" name="Ticker"/>
    <x:tableColumn id="4" name="Instrument Type"/>
    <x:tableColumn id="5" name="Price / Unit"/>
    <x:tableColumn id="6" name="Price Currency"/>
    <x:tableColumn id="7" name="FX Rate"/>
    <x:tableColumn id="8" name="Allocation %"/>
    <x:tableColumn id="9" name="Target Amount (₹)"/>
    <x:tableColumn id="10" name="Estimated Units"/>
    <x:tableColumn id="11" name="Risk Level"/>
    <x:tableColumn id="12" name="Rationale"/>
    <x:tableColumn id="13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2" name="AssetClassSummaryTable" displayName="AssetClassSummaryTable" ref="A15:D19" headerRowCount="1">
  <x:tableColumns count="4">
    <x:tableColumn id="1" name="Asset Class"/>
    <x:tableColumn id="2" name="Target Amount (₹)"/>
    <x:tableColumn id="3" name="Weight"/>
    <x:tableColumn id="4" name="Risk Note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3:D12" headerRowCount="1">
  <x:tableColumns count="4">
    <x:tableColumn id="1" name="Topic"/>
    <x:tableColumn id="2" name="Key Point Used"/>
    <x:tableColumn id="3" name="Source 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00151492c44921" /><Relationship Type="http://schemas.openxmlformats.org/officeDocument/2006/relationships/table" Target="/xl/tables/table1.xml" Id="Raf5a357e2f3145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d526282caf444e" /><Relationship Type="http://schemas.openxmlformats.org/officeDocument/2006/relationships/table" Target="/xl/tables/table3.xml" Id="Rc4b91d6758b044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890b5973ac4ad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65.41000366210938" hidden="0" customWidth="1"/>
    <x:col min="4" max="4" width="17" hidden="0" customWidth="1"/>
    <x:col min="5" max="5" width="17" hidden="0" customWidth="1"/>
    <x:col min="6" max="6" width="17" hidden="0" customWidth="1"/>
    <x:col min="7" max="7" width="65.41000366210938" hidden="0" customWidth="1"/>
    <x:col min="8" max="8" width="65.41000366210938" hidden="0" customWidth="1"/>
  </x:cols>
  <x:sheetData>
    <x:row r="1" ht="16.799999237060547" hidden="0" customHeight="1">
      <x:c r="A1" s="46" t="str">
        <x:v>CodeAlpha Task 03 - Investment Portfolio Dashboard</x:v>
      </x:c>
      <x:c r="B1" s="30" t="str">
        <x:v>CodeAlpha Task 03 - Investment Portfolio Dashboard</x:v>
      </x:c>
      <x:c r="C1" s="30" t="str">
        <x:v>CodeAlpha Task 03 - Investment Portfolio Dashboard</x:v>
      </x:c>
      <x:c r="D1" s="30" t="str">
        <x:v>CodeAlpha Task 03 - Investment Portfolio Dashboard</x:v>
      </x:c>
      <x:c r="E1" s="30" t="str">
        <x:v>CodeAlpha Task 03 - Investment Portfolio Dashboard</x:v>
      </x:c>
      <x:c r="F1" s="30" t="str">
        <x:v>CodeAlpha Task 03 - Investment Portfolio Dashboard</x:v>
      </x:c>
      <x:c r="G1" s="30" t="str">
        <x:v>CodeAlpha Task 03 - Investment Portfolio Dashboard</x:v>
      </x:c>
      <x:c r="H1" s="30" t="str">
        <x:v>CodeAlpha Task 03 - Investment Portfolio Dashboard</x:v>
      </x:c>
      <x:c r="I1" s="30"/>
      <x:c r="J1" s="30"/>
      <x:c r="K1" s="30"/>
      <x:c r="L1" s="30"/>
      <x:c r="M1" s="30"/>
    </x:row>
    <x:row r="2" ht="15" hidden="0" customHeight="1">
      <x:c r="A2" s="47" t="str">
        <x:v>Hypothetical investment portfolio worth ₹1,00,000 across stocks, ETFs and crypto.</x:v>
      </x:c>
      <x:c r="B2" s="30" t="str">
        <x:v>Hypothetical investment portfolio worth ₹1,00,000 across stocks, ETFs and crypto.</x:v>
      </x:c>
      <x:c r="C2" s="30" t="str">
        <x:v>Hypothetical investment portfolio worth ₹1,00,000 across stocks, ETFs and crypto.</x:v>
      </x:c>
      <x:c r="D2" s="30" t="str">
        <x:v>Hypothetical investment portfolio worth ₹1,00,000 across stocks, ETFs and crypto.</x:v>
      </x:c>
      <x:c r="E2" s="30" t="str">
        <x:v>Hypothetical investment portfolio worth ₹1,00,000 across stocks, ETFs and crypto.</x:v>
      </x:c>
      <x:c r="F2" s="30" t="str">
        <x:v>Hypothetical investment portfolio worth ₹1,00,000 across stocks, ETFs and crypto.</x:v>
      </x:c>
      <x:c r="G2" s="30" t="str">
        <x:v>Hypothetical investment portfolio worth ₹1,00,000 across stocks, ETFs and crypto.</x:v>
      </x:c>
      <x:c r="H2" s="30" t="str">
        <x:v>Hypothetical investment portfolio worth ₹1,00,000 across stocks, ETFs and crypto.</x:v>
      </x:c>
      <x:c r="I2" s="30"/>
      <x:c r="J2" s="30"/>
      <x:c r="K2" s="30"/>
      <x:c r="L2" s="30"/>
      <x:c r="M2" s="30"/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 ht="15" hidden="0" customHeight="1">
      <x:c r="A4" s="48" t="str">
        <x:v>Total Portfolio Value</x:v>
      </x:c>
      <x:c r="B4" s="49" t="n">
        <x:f>Assumptions!B3</x:f>
        <x:v>100000</x:v>
      </x:c>
      <x:c r="C4" s="30"/>
      <x:c r="D4" s="48" t="str">
        <x:v>Asset Class</x:v>
      </x:c>
      <x:c r="E4" s="48" t="str">
        <x:v>Amount (₹)</x:v>
      </x:c>
      <x:c r="F4" s="48" t="str">
        <x:v>Weight</x:v>
      </x:c>
      <x:c r="G4" s="30"/>
      <x:c r="H4" s="30"/>
      <x:c r="I4" s="30"/>
      <x:c r="J4" s="30"/>
      <x:c r="K4" s="30"/>
      <x:c r="L4" s="30"/>
      <x:c r="M4" s="30"/>
    </x:row>
    <x:row r="5" ht="15" hidden="0" customHeight="1">
      <x:c r="A5" s="30" t="str">
        <x:v>Stocks Allocation</x:v>
      </x:c>
      <x:c r="B5" s="42" t="n">
        <x:f>SUMIF('Portfolio Allocation'!$A$5:$A$12,"Stocks",'Portfolio Allocation'!$I$5:$I$12)</x:f>
        <x:v>55000</x:v>
      </x:c>
      <x:c r="C5" s="30"/>
      <x:c r="D5" s="30" t="str">
        <x:v>Stocks</x:v>
      </x:c>
      <x:c r="E5" s="42" t="n">
        <x:f>SUMIF('Portfolio Allocation'!$A$5:$A$12,D5,'Portfolio Allocation'!$I$5:$I$12)</x:f>
        <x:v>55000</x:v>
      </x:c>
      <x:c r="F5" s="50" t="n">
        <x:f>E5/Assumptions!$B$3</x:f>
        <x:v>0.55</x:v>
      </x:c>
      <x:c r="G5" s="30"/>
      <x:c r="H5" s="30"/>
      <x:c r="I5" s="30"/>
      <x:c r="J5" s="30"/>
      <x:c r="K5" s="30"/>
      <x:c r="L5" s="30"/>
      <x:c r="M5" s="30"/>
    </x:row>
    <x:row r="6" ht="15" hidden="0" customHeight="1">
      <x:c r="A6" s="30" t="str">
        <x:v>ETF Allocation</x:v>
      </x:c>
      <x:c r="B6" s="42" t="n">
        <x:f>SUMIF('Portfolio Allocation'!$A$5:$A$12,"ETF",'Portfolio Allocation'!$I$5:$I$12)</x:f>
        <x:v>30000</x:v>
      </x:c>
      <x:c r="C6" s="30"/>
      <x:c r="D6" s="30" t="str">
        <x:v>ETF</x:v>
      </x:c>
      <x:c r="E6" s="42" t="n">
        <x:f>SUMIF('Portfolio Allocation'!$A$5:$A$12,D6,'Portfolio Allocation'!$I$5:$I$12)</x:f>
        <x:v>30000</x:v>
      </x:c>
      <x:c r="F6" s="50" t="n">
        <x:f>E6/Assumptions!$B$3</x:f>
        <x:v>0.3</x:v>
      </x:c>
      <x:c r="G6" s="30"/>
      <x:c r="H6" s="30"/>
      <x:c r="I6" s="30"/>
      <x:c r="J6" s="30"/>
      <x:c r="K6" s="30"/>
      <x:c r="L6" s="30"/>
      <x:c r="M6" s="30"/>
    </x:row>
    <x:row r="7" ht="15" hidden="0" customHeight="1">
      <x:c r="A7" s="30" t="str">
        <x:v>Crypto Allocation</x:v>
      </x:c>
      <x:c r="B7" s="42" t="n">
        <x:f>SUMIF('Portfolio Allocation'!$A$5:$A$12,"Crypto",'Portfolio Allocation'!$I$5:$I$12)</x:f>
        <x:v>15000</x:v>
      </x:c>
      <x:c r="C7" s="30"/>
      <x:c r="D7" s="30" t="str">
        <x:v>Crypto</x:v>
      </x:c>
      <x:c r="E7" s="42" t="n">
        <x:f>SUMIF('Portfolio Allocation'!$A$5:$A$12,D7,'Portfolio Allocation'!$I$5:$I$12)</x:f>
        <x:v>15000</x:v>
      </x:c>
      <x:c r="F7" s="50" t="n">
        <x:f>E7/Assumptions!$B$3</x:f>
        <x:v>0.15</x:v>
      </x:c>
      <x:c r="G7" s="30"/>
      <x:c r="H7" s="30"/>
      <x:c r="I7" s="30"/>
      <x:c r="J7" s="30"/>
      <x:c r="K7" s="30"/>
      <x:c r="L7" s="30"/>
      <x:c r="M7" s="30"/>
    </x:row>
    <x:row r="8" ht="15" hidden="0" customHeight="1">
      <x:c r="A8" s="30" t="str">
        <x:v>Portfolio Type</x:v>
      </x:c>
      <x:c r="B8" s="30" t="str">
        <x:v>Moderate Growth</x:v>
      </x:c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</x:row>
    <x:row r="9" ht="15" hidden="0" customHeight="1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0" ht="15" hidden="0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 ht="15" hidden="0" customHeight="1">
      <x:c r="A11" s="48" t="str">
        <x:v>Investment</x:v>
      </x:c>
      <x:c r="B11" s="48" t="str">
        <x:v>Asset Class</x:v>
      </x:c>
      <x:c r="C11" s="48" t="str">
        <x:v>Allocation %</x:v>
      </x:c>
      <x:c r="D11" s="48" t="str">
        <x:v>Amount (₹)</x:v>
      </x:c>
      <x:c r="E11" s="48" t="str">
        <x:v>Risk</x:v>
      </x:c>
      <x:c r="F11" s="30"/>
      <x:c r="G11" s="30"/>
      <x:c r="H11" s="30"/>
      <x:c r="I11" s="30"/>
      <x:c r="J11" s="30"/>
      <x:c r="K11" s="30"/>
      <x:c r="L11" s="30"/>
      <x:c r="M11" s="30"/>
    </x:row>
    <x:row r="12" ht="15" hidden="0" customHeight="1">
      <x:c r="A12" s="30" t="str">
        <x:v>Reliance Industries Ltd.</x:v>
      </x:c>
      <x:c r="B12" s="30" t="str">
        <x:v>Stocks</x:v>
      </x:c>
      <x:c r="C12" s="50" t="n">
        <x:v>0.2</x:v>
      </x:c>
      <x:c r="D12" s="42" t="n">
        <x:f>C12*Assumptions!$B$3</x:f>
        <x:v>20000</x:v>
      </x:c>
      <x:c r="E12" s="30" t="str">
        <x:v>Moderate-High</x:v>
      </x:c>
      <x:c r="F12" s="30"/>
      <x:c r="G12" s="30"/>
      <x:c r="H12" s="30"/>
      <x:c r="I12" s="30"/>
      <x:c r="J12" s="30"/>
      <x:c r="K12" s="30"/>
      <x:c r="L12" s="30"/>
      <x:c r="M12" s="30"/>
    </x:row>
    <x:row r="13" ht="15" hidden="0" customHeight="1">
      <x:c r="A13" s="30" t="str">
        <x:v>HDFC Bank Ltd.</x:v>
      </x:c>
      <x:c r="B13" s="30" t="str">
        <x:v>Stocks</x:v>
      </x:c>
      <x:c r="C13" s="50" t="n">
        <x:v>0.18</x:v>
      </x:c>
      <x:c r="D13" s="42" t="n">
        <x:f>C13*Assumptions!$B$3</x:f>
        <x:v>18000</x:v>
      </x:c>
      <x:c r="E13" s="30" t="str">
        <x:v>Moderate</x:v>
      </x:c>
      <x:c r="F13" s="30"/>
      <x:c r="G13" s="30"/>
      <x:c r="H13" s="30"/>
      <x:c r="I13" s="30"/>
      <x:c r="J13" s="30"/>
      <x:c r="K13" s="30"/>
      <x:c r="L13" s="30"/>
      <x:c r="M13" s="30"/>
    </x:row>
    <x:row r="14" ht="15" hidden="0" customHeight="1">
      <x:c r="A14" s="30" t="str">
        <x:v>Tata Consultancy Services Ltd.</x:v>
      </x:c>
      <x:c r="B14" s="30" t="str">
        <x:v>Stocks</x:v>
      </x:c>
      <x:c r="C14" s="50" t="n">
        <x:v>0.17</x:v>
      </x:c>
      <x:c r="D14" s="42" t="n">
        <x:f>C14*Assumptions!$B$3</x:f>
        <x:v>17000</x:v>
      </x:c>
      <x:c r="E14" s="30" t="str">
        <x:v>Moderate-High</x:v>
      </x:c>
      <x:c r="F14" s="30"/>
      <x:c r="G14" s="30"/>
      <x:c r="H14" s="30"/>
      <x:c r="I14" s="30"/>
      <x:c r="J14" s="30"/>
      <x:c r="K14" s="30"/>
      <x:c r="L14" s="30"/>
      <x:c r="M14" s="30"/>
    </x:row>
    <x:row r="15" ht="15" hidden="0" customHeight="1">
      <x:c r="A15" s="30" t="str">
        <x:v>SBI Nifty 50 ETF</x:v>
      </x:c>
      <x:c r="B15" s="30" t="str">
        <x:v>ETF</x:v>
      </x:c>
      <x:c r="C15" s="50" t="n">
        <x:v>0.2</x:v>
      </x:c>
      <x:c r="D15" s="42" t="n">
        <x:f>C15*Assumptions!$B$3</x:f>
        <x:v>20000</x:v>
      </x:c>
      <x:c r="E15" s="30" t="str">
        <x:v>Moderate</x:v>
      </x:c>
      <x:c r="F15" s="30"/>
      <x:c r="G15" s="30"/>
      <x:c r="H15" s="30"/>
      <x:c r="I15" s="30"/>
      <x:c r="J15" s="30"/>
      <x:c r="K15" s="30"/>
      <x:c r="L15" s="30"/>
      <x:c r="M15" s="30"/>
    </x:row>
    <x:row r="16" ht="15" hidden="0" customHeight="1">
      <x:c r="A16" s="30" t="str">
        <x:v>Nippon India ETF Gold BeES</x:v>
      </x:c>
      <x:c r="B16" s="30" t="str">
        <x:v>ETF</x:v>
      </x:c>
      <x:c r="C16" s="50" t="n">
        <x:v>0.1</x:v>
      </x:c>
      <x:c r="D16" s="42" t="n">
        <x:f>C16*Assumptions!$B$3</x:f>
        <x:v>10000</x:v>
      </x:c>
      <x:c r="E16" s="30" t="str">
        <x:v>Low-Moderate</x:v>
      </x:c>
      <x:c r="F16" s="30"/>
      <x:c r="G16" s="30"/>
      <x:c r="H16" s="30"/>
      <x:c r="I16" s="30"/>
      <x:c r="J16" s="30"/>
      <x:c r="K16" s="30"/>
      <x:c r="L16" s="30"/>
      <x:c r="M16" s="30"/>
    </x:row>
    <x:row r="17" ht="15" hidden="0" customHeight="1">
      <x:c r="A17" s="30" t="str">
        <x:v>Bitcoin</x:v>
      </x:c>
      <x:c r="B17" s="30" t="str">
        <x:v>Crypto</x:v>
      </x:c>
      <x:c r="C17" s="50" t="n">
        <x:v>0.07</x:v>
      </x:c>
      <x:c r="D17" s="42" t="n">
        <x:f>C17*Assumptions!$B$3</x:f>
        <x:v>7000.000000000001</x:v>
      </x:c>
      <x:c r="E17" s="30" t="str">
        <x:v>High</x:v>
      </x:c>
      <x:c r="F17" s="30"/>
      <x:c r="G17" s="30"/>
      <x:c r="H17" s="30"/>
      <x:c r="I17" s="30"/>
      <x:c r="J17" s="30"/>
      <x:c r="K17" s="30"/>
      <x:c r="L17" s="30"/>
      <x:c r="M17" s="30"/>
    </x:row>
    <x:row r="18" ht="15" hidden="0" customHeight="1">
      <x:c r="A18" s="30" t="str">
        <x:v>Ethereum</x:v>
      </x:c>
      <x:c r="B18" s="30" t="str">
        <x:v>Crypto</x:v>
      </x:c>
      <x:c r="C18" s="50" t="n">
        <x:v>0.05</x:v>
      </x:c>
      <x:c r="D18" s="42" t="n">
        <x:f>C18*Assumptions!$B$3</x:f>
        <x:v>5000</x:v>
      </x:c>
      <x:c r="E18" s="30" t="str">
        <x:v>High</x:v>
      </x:c>
      <x:c r="F18" s="30"/>
      <x:c r="G18" s="30"/>
      <x:c r="H18" s="30"/>
      <x:c r="I18" s="30"/>
      <x:c r="J18" s="30"/>
      <x:c r="K18" s="30"/>
      <x:c r="L18" s="30"/>
      <x:c r="M18" s="30"/>
    </x:row>
    <x:row r="19" ht="15" hidden="0" customHeight="1">
      <x:c r="A19" s="30" t="str">
        <x:v>Solana</x:v>
      </x:c>
      <x:c r="B19" s="30" t="str">
        <x:v>Crypto</x:v>
      </x:c>
      <x:c r="C19" s="50" t="n">
        <x:v>0.03</x:v>
      </x:c>
      <x:c r="D19" s="42" t="n">
        <x:f>C19*Assumptions!$B$3</x:f>
        <x:v>3000</x:v>
      </x:c>
      <x:c r="E19" s="30" t="str">
        <x:v>Very High</x:v>
      </x:c>
      <x:c r="F19" s="30"/>
      <x:c r="G19" s="30"/>
      <x:c r="H19" s="30"/>
      <x:c r="I19" s="30"/>
      <x:c r="J19" s="30"/>
      <x:c r="K19" s="30"/>
      <x:c r="L19" s="30"/>
      <x:c r="M19" s="30"/>
    </x:row>
    <x:row r="20" ht="15" hidden="0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  <x:row r="21" ht="15" hidden="0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</x:row>
    <x:row r="22" ht="15" hidden="0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</x:row>
    <x:row r="23" ht="15" hidden="0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</x:row>
    <x:row r="24" ht="15" hidden="0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</x:row>
    <x:row r="25" ht="15" hidden="0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100151492c44921"/>
  <x:tableParts count="1">
    <x:tablePart xmlns:r="http://schemas.openxmlformats.org/officeDocument/2006/relationships" r:id="Raf5a357e2f3145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.37000274658203" hidden="0" customWidth="1"/>
    <x:col min="4" max="4" width="75.37000274658203" hidden="0" customWidth="1"/>
    <x:col min="5" max="5" width="75.37000274658203" hidden="0" customWidth="1"/>
    <x:col min="6" max="6" width="75.37000274658203" hidden="0" customWidth="1"/>
    <x:col min="7" max="7" width="75.37000274658203" hidden="0" customWidth="1"/>
    <x:col min="8" max="8" width="75.37000274658203" hidden="0" customWidth="1"/>
    <x:col min="9" max="9" width="75.37000274658203" hidden="0" customWidth="1"/>
    <x:col min="10" max="10" width="75.37000274658203" hidden="0" customWidth="1"/>
    <x:col min="11" max="11" width="15" hidden="0" customWidth="1"/>
    <x:col min="12" max="12" width="46" hidden="0" customWidth="1"/>
    <x:col min="13" max="13" width="42" hidden="0" customWidth="1"/>
  </x:cols>
  <x:sheetData>
    <x:row r="1" ht="16.799999237060547" hidden="0" customHeight="1">
      <x:c r="A1" s="46" t="str">
        <x:v>CodeAlpha Task 03 - Investment Portfolio Creation (₹1,00,000)</x:v>
      </x:c>
      <x:c r="B1" s="30" t="str">
        <x:v>CodeAlpha Task 03 - Investment Portfolio Creation (₹1,00,000)</x:v>
      </x:c>
      <x:c r="C1" s="30" t="str">
        <x:v>CodeAlpha Task 03 - Investment Portfolio Creation (₹1,00,000)</x:v>
      </x:c>
      <x:c r="D1" s="30" t="str">
        <x:v>CodeAlpha Task 03 - Investment Portfolio Creation (₹1,00,000)</x:v>
      </x:c>
      <x:c r="E1" s="30" t="str">
        <x:v>CodeAlpha Task 03 - Investment Portfolio Creation (₹1,00,000)</x:v>
      </x:c>
      <x:c r="F1" s="30" t="str">
        <x:v>CodeAlpha Task 03 - Investment Portfolio Creation (₹1,00,000)</x:v>
      </x:c>
      <x:c r="G1" s="30" t="str">
        <x:v>CodeAlpha Task 03 - Investment Portfolio Creation (₹1,00,000)</x:v>
      </x:c>
      <x:c r="H1" s="30" t="str">
        <x:v>CodeAlpha Task 03 - Investment Portfolio Creation (₹1,00,000)</x:v>
      </x:c>
      <x:c r="I1" s="30" t="str">
        <x:v>CodeAlpha Task 03 - Investment Portfolio Creation (₹1,00,000)</x:v>
      </x:c>
      <x:c r="J1" s="30" t="str">
        <x:v>CodeAlpha Task 03 - Investment Portfolio Creation (₹1,00,000)</x:v>
      </x:c>
      <x:c r="K1" s="30" t="str">
        <x:v>CodeAlpha Task 03 - Investment Portfolio Creation (₹1,00,000)</x:v>
      </x:c>
      <x:c r="L1" s="30" t="str">
        <x:v>CodeAlpha Task 03 - Investment Portfolio Creation (₹1,00,000)</x:v>
      </x:c>
      <x:c r="M1" s="30" t="str">
        <x:v>CodeAlpha Task 03 - Investment Portfolio Creation (₹1,00,000)</x:v>
      </x:c>
    </x:row>
    <x:row r="2" ht="15" hidden="0" customHeight="1">
      <x:c r="A2" s="47" t="str">
        <x:v>Prepared for internship submission | Portfolio date: 08-Jun-2026 | Currency: Indian Rupees (₹)</x:v>
      </x:c>
      <x:c r="B2" s="30" t="str">
        <x:v>Prepared for internship submission | Portfolio date: 08-Jun-2026 | Currency: Indian Rupees (₹)</x:v>
      </x:c>
      <x:c r="C2" s="30" t="str">
        <x:v>Prepared for internship submission | Portfolio date: 08-Jun-2026 | Currency: Indian Rupees (₹)</x:v>
      </x:c>
      <x:c r="D2" s="30" t="str">
        <x:v>Prepared for internship submission | Portfolio date: 08-Jun-2026 | Currency: Indian Rupees (₹)</x:v>
      </x:c>
      <x:c r="E2" s="30" t="str">
        <x:v>Prepared for internship submission | Portfolio date: 08-Jun-2026 | Currency: Indian Rupees (₹)</x:v>
      </x:c>
      <x:c r="F2" s="30" t="str">
        <x:v>Prepared for internship submission | Portfolio date: 08-Jun-2026 | Currency: Indian Rupees (₹)</x:v>
      </x:c>
      <x:c r="G2" s="30" t="str">
        <x:v>Prepared for internship submission | Portfolio date: 08-Jun-2026 | Currency: Indian Rupees (₹)</x:v>
      </x:c>
      <x:c r="H2" s="30" t="str">
        <x:v>Prepared for internship submission | Portfolio date: 08-Jun-2026 | Currency: Indian Rupees (₹)</x:v>
      </x:c>
      <x:c r="I2" s="30" t="str">
        <x:v>Prepared for internship submission | Portfolio date: 08-Jun-2026 | Currency: Indian Rupees (₹)</x:v>
      </x:c>
      <x:c r="J2" s="30" t="str">
        <x:v>Prepared for internship submission | Portfolio date: 08-Jun-2026 | Currency: Indian Rupees (₹)</x:v>
      </x:c>
      <x:c r="K2" s="30" t="str">
        <x:v>Prepared for internship submission | Portfolio date: 08-Jun-2026 | Currency: Indian Rupees (₹)</x:v>
      </x:c>
      <x:c r="L2" s="30" t="str">
        <x:v>Prepared for internship submission | Portfolio date: 08-Jun-2026 | Currency: Indian Rupees (₹)</x:v>
      </x:c>
      <x:c r="M2" s="30" t="str">
        <x:v>Prepared for internship submission | Portfolio date: 08-Jun-2026 | Currency: Indian Rupees (₹)</x:v>
      </x:c>
    </x:row>
    <x:row r="3" ht="15" hidden="0" customHeight="1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 ht="15" hidden="0" customHeight="1">
      <x:c r="A4" s="48" t="str">
        <x:v>Asset Class</x:v>
      </x:c>
      <x:c r="B4" s="48" t="str">
        <x:v>Investment</x:v>
      </x:c>
      <x:c r="C4" s="48" t="str">
        <x:v>Ticker</x:v>
      </x:c>
      <x:c r="D4" s="48" t="str">
        <x:v>Instrument Type</x:v>
      </x:c>
      <x:c r="E4" s="48" t="str">
        <x:v>Price / Unit</x:v>
      </x:c>
      <x:c r="F4" s="48" t="str">
        <x:v>Price Currency</x:v>
      </x:c>
      <x:c r="G4" s="48" t="str">
        <x:v>FX Rate</x:v>
      </x:c>
      <x:c r="H4" s="48" t="str">
        <x:v>Allocation %</x:v>
      </x:c>
      <x:c r="I4" s="48" t="str">
        <x:v>Target Amount (₹)</x:v>
      </x:c>
      <x:c r="J4" s="48" t="str">
        <x:v>Estimated Units</x:v>
      </x:c>
      <x:c r="K4" s="48" t="str">
        <x:v>Risk Level</x:v>
      </x:c>
      <x:c r="L4" s="48" t="str">
        <x:v>Rationale</x:v>
      </x:c>
      <x:c r="M4" s="48" t="str">
        <x:v>Source URL</x:v>
      </x:c>
    </x:row>
    <x:row r="5" ht="15" hidden="0" customHeight="1">
      <x:c r="A5" s="30" t="str">
        <x:v>Stocks</x:v>
      </x:c>
      <x:c r="B5" s="30" t="str">
        <x:v>Reliance Industries Ltd.</x:v>
      </x:c>
      <x:c r="C5" s="30" t="str">
        <x:v>RELIANCE</x:v>
      </x:c>
      <x:c r="D5" s="30" t="str">
        <x:v>Equity</x:v>
      </x:c>
      <x:c r="E5" s="56" t="n">
        <x:v>1275.6</x:v>
      </x:c>
      <x:c r="F5" s="30" t="str">
        <x:v>INR</x:v>
      </x:c>
      <x:c r="G5" s="56" t="n">
        <x:v>1</x:v>
      </x:c>
      <x:c r="H5" s="50" t="n">
        <x:v>0.2</x:v>
      </x:c>
      <x:c r="I5" s="42" t="n">
        <x:f>Assumptions!$B$3*H5</x:f>
        <x:v>20000</x:v>
      </x:c>
      <x:c r="J5" s="57" t="n">
        <x:f>I5/(E5*G5)</x:f>
        <x:v>15.678896205707119</x:v>
      </x:c>
      <x:c r="K5" s="30" t="str">
        <x:v>Moderate-High</x:v>
      </x:c>
      <x:c r="L5" s="30" t="str">
        <x:v>Diversified large-cap exposure across energy, retail, telecom and new energy; suitable as a core Indian equity holding.</x:v>
      </x:c>
      <x:c r="M5" s="30" t="str">
        <x:v>https://economictimes.indiatimes.com/reliance-industries-ltd/stocks/companyid-13215.cms</x:v>
      </x:c>
    </x:row>
    <x:row r="6" ht="15" hidden="0" customHeight="1">
      <x:c r="A6" s="30" t="str">
        <x:v>Stocks</x:v>
      </x:c>
      <x:c r="B6" s="30" t="str">
        <x:v>HDFC Bank Ltd.</x:v>
      </x:c>
      <x:c r="C6" s="30" t="str">
        <x:v>HDFCBANK</x:v>
      </x:c>
      <x:c r="D6" s="30" t="str">
        <x:v>Equity</x:v>
      </x:c>
      <x:c r="E6" s="56" t="n">
        <x:v>747.05</x:v>
      </x:c>
      <x:c r="F6" s="30" t="str">
        <x:v>INR</x:v>
      </x:c>
      <x:c r="G6" s="56" t="n">
        <x:v>1</x:v>
      </x:c>
      <x:c r="H6" s="50" t="n">
        <x:v>0.18</x:v>
      </x:c>
      <x:c r="I6" s="42" t="n">
        <x:f>Assumptions!$B$3*H6</x:f>
        <x:v>18000</x:v>
      </x:c>
      <x:c r="J6" s="57" t="n">
        <x:f>I6/(E6*G6)</x:f>
        <x:v>24.09477277290677</x:v>
      </x:c>
      <x:c r="K6" s="30" t="str">
        <x:v>Moderate</x:v>
      </x:c>
      <x:c r="L6" s="30" t="str">
        <x:v>Large private bank exposure; selected for financial-sector diversification and long-term lending/deposit franchise.</x:v>
      </x:c>
      <x:c r="M6" s="30" t="str">
        <x:v>https://economictimes.indiatimes.com/hdfc-bank-ltd/stocks/companyid-9195.cms</x:v>
      </x:c>
    </x:row>
    <x:row r="7" ht="15" hidden="0" customHeight="1">
      <x:c r="A7" s="30" t="str">
        <x:v>Stocks</x:v>
      </x:c>
      <x:c r="B7" s="30" t="str">
        <x:v>Tata Consultancy Services Ltd.</x:v>
      </x:c>
      <x:c r="C7" s="30" t="str">
        <x:v>TCS</x:v>
      </x:c>
      <x:c r="D7" s="30" t="str">
        <x:v>Equity</x:v>
      </x:c>
      <x:c r="E7" s="56" t="n">
        <x:v>2198.25</x:v>
      </x:c>
      <x:c r="F7" s="30" t="str">
        <x:v>INR</x:v>
      </x:c>
      <x:c r="G7" s="56" t="n">
        <x:v>1</x:v>
      </x:c>
      <x:c r="H7" s="50" t="n">
        <x:v>0.17</x:v>
      </x:c>
      <x:c r="I7" s="42" t="n">
        <x:f>Assumptions!$B$3*H7</x:f>
        <x:v>17000</x:v>
      </x:c>
      <x:c r="J7" s="57" t="n">
        <x:f>I7/(E7*G7)</x:f>
        <x:v>7.73342431479586</x:v>
      </x:c>
      <x:c r="K7" s="30" t="str">
        <x:v>Moderate-High</x:v>
      </x:c>
      <x:c r="L7" s="30" t="str">
        <x:v>Large IT-services exposure with global revenues; allocation is controlled because IT stocks face near-term AI and rate-risk pressure.</x:v>
      </x:c>
      <x:c r="M7" s="30" t="str">
        <x:v>https://www.moneycontrol.com/india/stockpricequote/computers-software/tataconsultancyservices/TCS</x:v>
      </x:c>
    </x:row>
    <x:row r="8" ht="15" hidden="0" customHeight="1">
      <x:c r="A8" s="30" t="str">
        <x:v>ETF</x:v>
      </x:c>
      <x:c r="B8" s="30" t="str">
        <x:v>SBI Nifty 50 ETF</x:v>
      </x:c>
      <x:c r="C8" s="30" t="str">
        <x:v>SETFNIF50</x:v>
      </x:c>
      <x:c r="D8" s="30" t="str">
        <x:v>ETF</x:v>
      </x:c>
      <x:c r="E8" s="56" t="n">
        <x:v>248.99</x:v>
      </x:c>
      <x:c r="F8" s="30" t="str">
        <x:v>INR</x:v>
      </x:c>
      <x:c r="G8" s="56" t="n">
        <x:v>1</x:v>
      </x:c>
      <x:c r="H8" s="50" t="n">
        <x:v>0.2</x:v>
      </x:c>
      <x:c r="I8" s="42" t="n">
        <x:f>Assumptions!$B$3*H8</x:f>
        <x:v>20000</x:v>
      </x:c>
      <x:c r="J8" s="57" t="n">
        <x:f>I8/(E8*G8)</x:f>
        <x:v>80.32451102453913</x:v>
      </x:c>
      <x:c r="K8" s="30" t="str">
        <x:v>Moderate</x:v>
      </x:c>
      <x:c r="L8" s="30" t="str">
        <x:v>Broad-market ETF exposure to reduce single-stock risk and represent the Indian equity market.</x:v>
      </x:c>
      <x:c r="M8" s="30" t="str">
        <x:v>https://groww.in/etfs/sbietf-nifty</x:v>
      </x:c>
    </x:row>
    <x:row r="9" ht="15" hidden="0" customHeight="1">
      <x:c r="A9" s="30" t="str">
        <x:v>ETF</x:v>
      </x:c>
      <x:c r="B9" s="30" t="str">
        <x:v>Nippon India ETF Gold BeES</x:v>
      </x:c>
      <x:c r="C9" s="30" t="str">
        <x:v>GOLDBEES</x:v>
      </x:c>
      <x:c r="D9" s="30" t="str">
        <x:v>ETF</x:v>
      </x:c>
      <x:c r="E9" s="56" t="n">
        <x:v>128.53</x:v>
      </x:c>
      <x:c r="F9" s="30" t="str">
        <x:v>INR</x:v>
      </x:c>
      <x:c r="G9" s="56" t="n">
        <x:v>1</x:v>
      </x:c>
      <x:c r="H9" s="50" t="n">
        <x:v>0.1</x:v>
      </x:c>
      <x:c r="I9" s="42" t="n">
        <x:f>Assumptions!$B$3*H9</x:f>
        <x:v>10000</x:v>
      </x:c>
      <x:c r="J9" s="57" t="n">
        <x:f>I9/(E9*G9)</x:f>
        <x:v>77.80284758422158</x:v>
      </x:c>
      <x:c r="K9" s="30" t="str">
        <x:v>Low-Moderate</x:v>
      </x:c>
      <x:c r="L9" s="30" t="str">
        <x:v>Gold ETF hedge for portfolio stability during equity-market volatility and currency/geopolitical uncertainty.</x:v>
      </x:c>
      <x:c r="M9" s="30" t="str">
        <x:v>https://www.nseindia.com/get-quote/equity/GOLDBEES/NIPPON-INDIA-ETF-GOLD-BEES</x:v>
      </x:c>
    </x:row>
    <x:row r="10" ht="15" hidden="0" customHeight="1">
      <x:c r="A10" s="30" t="str">
        <x:v>Crypto</x:v>
      </x:c>
      <x:c r="B10" s="30" t="str">
        <x:v>Bitcoin</x:v>
      </x:c>
      <x:c r="C10" s="30" t="str">
        <x:v>BTC</x:v>
      </x:c>
      <x:c r="D10" s="30" t="str">
        <x:v>Crypto</x:v>
      </x:c>
      <x:c r="E10" s="56" t="n">
        <x:v>62972</x:v>
      </x:c>
      <x:c r="F10" s="30" t="str">
        <x:v>USD</x:v>
      </x:c>
      <x:c r="G10" s="56" t="n">
        <x:v>95.32</x:v>
      </x:c>
      <x:c r="H10" s="50" t="n">
        <x:v>0.07</x:v>
      </x:c>
      <x:c r="I10" s="42" t="n">
        <x:f>Assumptions!$B$3*H10</x:f>
        <x:v>7000.000000000001</x:v>
      </x:c>
      <x:c r="J10" s="57" t="n">
        <x:f>I10/(E10*G10)</x:f>
        <x:v>0.0011661824987913689</x:v>
      </x:c>
      <x:c r="K10" s="30" t="str">
        <x:v>High</x:v>
      </x:c>
      <x:c r="L10" s="30" t="str">
        <x:v>Most established crypto asset; small allocation provides digital-asset exposure while controlling downside risk.</x:v>
      </x:c>
      <x:c r="M10" s="30" t="str">
        <x:v>https://www.bing.com/finance/quote/BTC-USD</x:v>
      </x:c>
    </x:row>
    <x:row r="11" ht="15" hidden="0" customHeight="1">
      <x:c r="A11" s="30" t="str">
        <x:v>Crypto</x:v>
      </x:c>
      <x:c r="B11" s="30" t="str">
        <x:v>Ethereum</x:v>
      </x:c>
      <x:c r="C11" s="30" t="str">
        <x:v>ETH</x:v>
      </x:c>
      <x:c r="D11" s="30" t="str">
        <x:v>Crypto</x:v>
      </x:c>
      <x:c r="E11" s="56" t="n">
        <x:v>1662.79</x:v>
      </x:c>
      <x:c r="F11" s="30" t="str">
        <x:v>USD</x:v>
      </x:c>
      <x:c r="G11" s="56" t="n">
        <x:v>95.32</x:v>
      </x:c>
      <x:c r="H11" s="50" t="n">
        <x:v>0.05</x:v>
      </x:c>
      <x:c r="I11" s="42" t="n">
        <x:f>Assumptions!$B$3*H11</x:f>
        <x:v>5000</x:v>
      </x:c>
      <x:c r="J11" s="57" t="n">
        <x:f>I11/(E11*G11)</x:f>
        <x:v>0.0315463099944285</x:v>
      </x:c>
      <x:c r="K11" s="30" t="str">
        <x:v>High</x:v>
      </x:c>
      <x:c r="L11" s="30" t="str">
        <x:v>Smart-contract platform exposure; kept below BTC due to higher technology and regulatory risk.</x:v>
      </x:c>
      <x:c r="M11" s="30" t="str">
        <x:v>https://www.bing.com/finance/quote/ETH-USD</x:v>
      </x:c>
    </x:row>
    <x:row r="12" ht="15" hidden="0" customHeight="1">
      <x:c r="A12" s="30" t="str">
        <x:v>Crypto</x:v>
      </x:c>
      <x:c r="B12" s="30" t="str">
        <x:v>Solana</x:v>
      </x:c>
      <x:c r="C12" s="30" t="str">
        <x:v>SOL</x:v>
      </x:c>
      <x:c r="D12" s="30" t="str">
        <x:v>Crypto</x:v>
      </x:c>
      <x:c r="E12" s="56" t="n">
        <x:v>65.67</x:v>
      </x:c>
      <x:c r="F12" s="30" t="str">
        <x:v>USD</x:v>
      </x:c>
      <x:c r="G12" s="56" t="n">
        <x:v>95.32</x:v>
      </x:c>
      <x:c r="H12" s="50" t="n">
        <x:v>0.03</x:v>
      </x:c>
      <x:c r="I12" s="42" t="n">
        <x:f>Assumptions!$B$3*H12</x:f>
        <x:v>3000</x:v>
      </x:c>
      <x:c r="J12" s="57" t="n">
        <x:f>I12/(E12*G12)</x:f>
        <x:v>0.47925892001494524</x:v>
      </x:c>
      <x:c r="K12" s="30" t="str">
        <x:v>Very High</x:v>
      </x:c>
      <x:c r="L12" s="30" t="str">
        <x:v>Higher-risk growth crypto exposure; capped at 3% to limit volatility impact.</x:v>
      </x:c>
      <x:c r="M12" s="30" t="str">
        <x:v>https://www.bing.com/finance/quote/SOL-USD</x:v>
      </x:c>
    </x:row>
    <x:row r="13" ht="15" hidden="0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 ht="15" hidden="0" customHeight="1">
      <x:c r="A14" s="58" t="str">
        <x:v>Asset Class Summary</x:v>
      </x:c>
      <x:c r="B14" s="58" t="str"/>
      <x:c r="C14" s="58" t="str"/>
      <x:c r="D14" s="58" t="str"/>
      <x:c r="E14" s="58" t="str"/>
      <x:c r="F14" s="58" t="str"/>
      <x:c r="G14" s="58" t="str"/>
      <x:c r="H14" s="58" t="str"/>
      <x:c r="I14" s="30"/>
      <x:c r="J14" s="30"/>
      <x:c r="K14" s="30"/>
      <x:c r="L14" s="30"/>
      <x:c r="M14" s="30"/>
    </x:row>
    <x:row r="15" ht="15" hidden="0" customHeight="1">
      <x:c r="A15" s="48" t="str">
        <x:v>Asset Class</x:v>
      </x:c>
      <x:c r="B15" s="48" t="str">
        <x:v>Target Amount (₹)</x:v>
      </x:c>
      <x:c r="C15" s="48" t="str">
        <x:v>Weight</x:v>
      </x:c>
      <x:c r="D15" s="48" t="str">
        <x:v>Risk Note</x:v>
      </x:c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 ht="15" hidden="0" customHeight="1">
      <x:c r="A16" s="30" t="str">
        <x:v>Stocks</x:v>
      </x:c>
      <x:c r="B16" s="42" t="n">
        <x:f>SUMIF($A$5:$A$12,A16,$I$5:$I$12)</x:f>
        <x:v>55000</x:v>
      </x:c>
      <x:c r="C16" s="50" t="n">
        <x:f>B16/Assumptions!$B$3</x:f>
        <x:v>0.55</x:v>
      </x:c>
      <x:c r="D16" s="30" t="str">
        <x:v>Growth engine; selected across energy, banking and IT.</x:v>
      </x:c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 ht="15" hidden="0" customHeight="1">
      <x:c r="A17" s="30" t="str">
        <x:v>ETF</x:v>
      </x:c>
      <x:c r="B17" s="42" t="n">
        <x:f>SUMIF($A$5:$A$12,A17,$I$5:$I$12)</x:f>
        <x:v>30000</x:v>
      </x:c>
      <x:c r="C17" s="50" t="n">
        <x:f>B17/Assumptions!$B$3</x:f>
        <x:v>0.3</x:v>
      </x:c>
      <x:c r="D17" s="30" t="str">
        <x:v>Diversification and hedge layer.</x:v>
      </x:c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 ht="15" hidden="0" customHeight="1">
      <x:c r="A18" s="30" t="str">
        <x:v>Crypto</x:v>
      </x:c>
      <x:c r="B18" s="42" t="n">
        <x:f>SUMIF($A$5:$A$12,A18,$I$5:$I$12)</x:f>
        <x:v>15000</x:v>
      </x:c>
      <x:c r="C18" s="50" t="n">
        <x:f>B18/Assumptions!$B$3</x:f>
        <x:v>0.15</x:v>
      </x:c>
      <x:c r="D18" s="30" t="str">
        <x:v>High-risk allocation capped at 15%.</x:v>
      </x:c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 ht="15" hidden="0" customHeight="1">
      <x:c r="A19" s="30" t="str">
        <x:v>Total</x:v>
      </x:c>
      <x:c r="B19" s="42" t="n">
        <x:f>SUM(B16:B18)</x:f>
        <x:v>100000</x:v>
      </x:c>
      <x:c r="C19" s="50" t="n">
        <x:f>SUM(C16:C18)</x:f>
        <x:v>1</x:v>
      </x:c>
      <x:c r="D19" s="30" t="str">
        <x:v>Should equal ₹1,00,000.</x:v>
      </x:c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 ht="15" hidden="0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  <x:row r="21" ht="15" hidden="0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</x:row>
    <x:row r="22" ht="15" hidden="0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</x:row>
    <x:row r="23" ht="15" hidden="0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</x:row>
    <x:row r="24" ht="15" hidden="0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</x:row>
    <x:row r="25" ht="15" hidden="0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</x:row>
  </x:sheetData>
  <x:mergeCells>
    <x:mergeCell ref="A1:M1"/>
    <x:mergeCell ref="A2:M2"/>
    <x:mergeCell ref="A14:H14"/>
  </x:mergeCells>
  <x:pageMargins left="0.7" right="0.7" top="0.75" bottom="0.75" header="0.3" footer="0.3"/>
  <x:tableParts count="2">
    <x:tablePart xmlns:r="http://schemas.openxmlformats.org/officeDocument/2006/relationships" r:id="R8fd526282caf444e"/>
    <x:tablePart xmlns:r="http://schemas.openxmlformats.org/officeDocument/2006/relationships" r:id="Rc4b91d6758b044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7.5" hidden="0" customWidth="1"/>
    <x:col min="4" max="4" width="38" hidden="0" customWidth="1"/>
  </x:cols>
  <x:sheetData>
    <x:row r="1" ht="16.799999237060547" hidden="0" customHeight="1">
      <x:c r="A1" s="46" t="str">
        <x:v>Assumptions &amp; Inputs</x:v>
      </x:c>
      <x:c r="B1" s="30" t="str">
        <x:v>Assumptions &amp; Inputs</x:v>
      </x:c>
      <x:c r="C1" s="30" t="str">
        <x:v>Assumptions &amp; Inputs</x:v>
      </x:c>
      <x:c r="D1" s="30" t="str">
        <x:v>Assumptions &amp; Inputs</x:v>
      </x:c>
      <x:c r="E1" s="30"/>
      <x:c r="F1" s="30"/>
      <x:c r="G1" s="30"/>
      <x:c r="H1" s="30"/>
      <x:c r="I1" s="30"/>
      <x:c r="J1" s="30"/>
      <x:c r="K1" s="30"/>
      <x:c r="L1" s="30"/>
      <x:c r="M1" s="30"/>
    </x:row>
    <x:row r="2" ht="15" hidden="0" customHeight="1">
      <x:c r="A2" s="47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</x:row>
    <x:row r="3" ht="15" hidden="0" customHeight="1">
      <x:c r="A3" s="30" t="str">
        <x:v>Total Portfolio Value (₹)</x:v>
      </x:c>
      <x:c r="B3" s="42" t="n">
        <x:v>100000</x:v>
      </x:c>
      <x:c r="C3" s="30"/>
      <x:c r="D3" s="30" t="str">
        <x:v>Source/Reason</x:v>
      </x:c>
      <x:c r="E3" s="30"/>
      <x:c r="F3" s="30"/>
      <x:c r="G3" s="30"/>
      <x:c r="H3" s="30"/>
      <x:c r="I3" s="30"/>
      <x:c r="J3" s="30"/>
      <x:c r="K3" s="30"/>
      <x:c r="L3" s="30"/>
      <x:c r="M3" s="30"/>
    </x:row>
    <x:row r="4" ht="15" hidden="0" customHeight="1">
      <x:c r="A4" s="30" t="str">
        <x:v>Portfolio Date</x:v>
      </x:c>
      <x:c r="B4" s="30" t="str">
        <x:v>08-Jun-2026</x:v>
      </x:c>
      <x:c r="C4" s="30"/>
      <x:c r="D4" s="30" t="str">
        <x:v>Portfolio construction assumption</x:v>
      </x:c>
      <x:c r="E4" s="30"/>
      <x:c r="F4" s="30"/>
      <x:c r="G4" s="30"/>
      <x:c r="H4" s="30"/>
      <x:c r="I4" s="30"/>
      <x:c r="J4" s="30"/>
      <x:c r="K4" s="30"/>
      <x:c r="L4" s="30"/>
      <x:c r="M4" s="30"/>
    </x:row>
    <x:row r="5" ht="15" hidden="0" customHeight="1">
      <x:c r="A5" s="30" t="str">
        <x:v>USD/INR Rate Used</x:v>
      </x:c>
      <x:c r="B5" s="44" t="n">
        <x:v>95.32</x:v>
      </x:c>
      <x:c r="C5" s="30"/>
      <x:c r="D5" s="30" t="str">
        <x:v>Reuters USD/INR update, 08-Jun-2026</x:v>
      </x:c>
      <x:c r="E5" s="30"/>
      <x:c r="F5" s="30"/>
      <x:c r="G5" s="30"/>
      <x:c r="H5" s="30"/>
      <x:c r="I5" s="30"/>
      <x:c r="J5" s="30"/>
      <x:c r="K5" s="30"/>
      <x:c r="L5" s="30"/>
      <x:c r="M5" s="30"/>
    </x:row>
    <x:row r="6" ht="15" hidden="0" customHeight="1">
      <x:c r="A6" s="30" t="str">
        <x:v>Rebalancing Frequency</x:v>
      </x:c>
      <x:c r="B6" s="30" t="str">
        <x:v>Quarterly</x:v>
      </x:c>
      <x:c r="C6" s="30"/>
      <x:c r="D6" s="30" t="str">
        <x:v>Risk-management assumption</x:v>
      </x:c>
      <x:c r="E6" s="30"/>
      <x:c r="F6" s="30"/>
      <x:c r="G6" s="30"/>
      <x:c r="H6" s="30"/>
      <x:c r="I6" s="30"/>
      <x:c r="J6" s="30"/>
      <x:c r="K6" s="30"/>
      <x:c r="L6" s="30"/>
      <x:c r="M6" s="30"/>
    </x:row>
    <x:row r="7" ht="15" hidden="0" customHeight="1">
      <x:c r="A7" s="30" t="str">
        <x:v>Risk Profile</x:v>
      </x:c>
      <x:c r="B7" s="30" t="str">
        <x:v>Moderate Growth</x:v>
      </x:c>
      <x:c r="C7" s="30"/>
      <x:c r="D7" s="30" t="str">
        <x:v>Balanced between growth and downside control</x:v>
      </x:c>
      <x:c r="E7" s="30"/>
      <x:c r="F7" s="30"/>
      <x:c r="G7" s="30"/>
      <x:c r="H7" s="30"/>
      <x:c r="I7" s="30"/>
      <x:c r="J7" s="30"/>
      <x:c r="K7" s="30"/>
      <x:c r="L7" s="30"/>
      <x:c r="M7" s="30"/>
    </x:row>
    <x:row r="8" ht="15" hidden="0" customHeight="1">
      <x:c r="A8" s="30" t="str">
        <x:v>Maximum Crypto Allocation</x:v>
      </x:c>
      <x:c r="B8" s="30" t="str">
        <x:v>15%</x:v>
      </x:c>
      <x:c r="C8" s="30"/>
      <x:c r="D8" s="30" t="str">
        <x:v>Crypto volatility control</x:v>
      </x:c>
      <x:c r="E8" s="30"/>
      <x:c r="F8" s="30"/>
      <x:c r="G8" s="30"/>
      <x:c r="H8" s="30"/>
      <x:c r="I8" s="30"/>
      <x:c r="J8" s="30"/>
      <x:c r="K8" s="30"/>
      <x:c r="L8" s="30"/>
      <x:c r="M8" s="30"/>
    </x:row>
    <x:row r="9" ht="15" hidden="0" customHeight="1">
      <x:c r="A9" s="30" t="str">
        <x:v>Minimum ETF Allocation</x:v>
      </x:c>
      <x:c r="B9" s="30" t="str">
        <x:v>30%</x:v>
      </x:c>
      <x:c r="C9" s="30"/>
      <x:c r="D9" s="30" t="str">
        <x:v>Diversification requirement</x:v>
      </x:c>
      <x:c r="E9" s="30"/>
      <x:c r="F9" s="30"/>
      <x:c r="G9" s="30"/>
      <x:c r="H9" s="30"/>
      <x:c r="I9" s="30"/>
      <x:c r="J9" s="30"/>
      <x:c r="K9" s="30"/>
      <x:c r="L9" s="30"/>
      <x:c r="M9" s="30"/>
    </x:row>
    <x:row r="10" ht="15" hidden="0" customHeight="1">
      <x:c r="A10" s="30" t="str">
        <x:v>Investment Horizon</x:v>
      </x:c>
      <x:c r="B10" s="30" t="str">
        <x:v>1-3 years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 ht="15" hidden="0" customHeight="1">
      <x:c r="A11" s="30" t="str">
        <x:v>Important Note</x:v>
      </x:c>
      <x:c r="B11" s="30" t="str">
        <x:v>Educational hypothetical portfolio; not financial advice.</x:v>
      </x:c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 ht="15" hidden="0" customHeight="1">
      <x:c r="A12" s="30" t="str">
        <x:v>Submission Requirement</x:v>
      </x:c>
      <x:c r="B12" s="30" t="str">
        <x:v>Google Sheet + 1-2 page explanation PDF.</x:v>
      </x:c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 ht="15" hidden="0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 ht="15" hidden="0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 ht="15" hidden="0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 ht="15" hidden="0" customHeight="1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 ht="15" hidden="0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 ht="15" hidden="0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 ht="15" hidden="0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 ht="15" hidden="0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  <x:row r="21" ht="15" hidden="0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</x:row>
    <x:row r="22" ht="15" hidden="0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</x:row>
    <x:row r="23" ht="15" hidden="0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</x:row>
    <x:row r="24" ht="15" hidden="0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</x:row>
    <x:row r="25" ht="15" hidden="0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5" hidden="0" customWidth="1"/>
    <x:col min="4" max="4" width="34" hidden="0" customWidth="1"/>
  </x:cols>
  <x:sheetData>
    <x:row r="1" ht="16.799999237060547" hidden="0" customHeight="1">
      <x:c r="A1" s="46" t="str">
        <x:v>Sources, Research Notes and Recommendations</x:v>
      </x:c>
      <x:c r="B1" s="30" t="str">
        <x:v>Sources, Research Notes and Recommendations</x:v>
      </x:c>
      <x:c r="C1" s="30" t="str">
        <x:v>Sources, Research Notes and Recommendations</x:v>
      </x:c>
      <x:c r="D1" s="30" t="str">
        <x:v>Sources, Research Notes and Recommendations</x:v>
      </x:c>
      <x:c r="E1" s="30"/>
      <x:c r="F1" s="30"/>
      <x:c r="G1" s="30"/>
      <x:c r="H1" s="30"/>
      <x:c r="I1" s="30"/>
      <x:c r="J1" s="30"/>
      <x:c r="K1" s="30"/>
      <x:c r="L1" s="30"/>
      <x:c r="M1" s="30"/>
    </x:row>
    <x:row r="2" ht="15" hidden="0" customHeight="1">
      <x:c r="A2" s="47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</x:row>
    <x:row r="3" ht="15" hidden="0" customHeight="1">
      <x:c r="A3" s="48" t="str">
        <x:v>Topic</x:v>
      </x:c>
      <x:c r="B3" s="48" t="str">
        <x:v>Key Point Used</x:v>
      </x:c>
      <x:c r="C3" s="48" t="str">
        <x:v>Source URL</x:v>
      </x:c>
      <x:c r="D3" s="48" t="str">
        <x:v>Notes</x:v>
      </x:c>
      <x:c r="E3" s="30"/>
      <x:c r="F3" s="30"/>
      <x:c r="G3" s="30"/>
      <x:c r="H3" s="30"/>
      <x:c r="I3" s="30"/>
      <x:c r="J3" s="30"/>
      <x:c r="K3" s="30"/>
      <x:c r="L3" s="30"/>
      <x:c r="M3" s="30"/>
    </x:row>
    <x:row r="4" ht="15" hidden="0" customHeight="1">
      <x:c r="A4" s="30" t="str">
        <x:v>Task requirement</x:v>
      </x:c>
      <x:c r="B4" s="30" t="str">
        <x:v>Build ₹1,00,000 portfolio with stocks, ETFs and crypto</x:v>
      </x:c>
      <x:c r="C4" s="30" t="str">
        <x:v>Uploaded CodeAlpha instruction PDF</x:v>
      </x:c>
      <x:c r="D4" s="30" t="str">
        <x:v>Task 03 requirement.</x:v>
      </x:c>
      <x:c r="E4" s="30"/>
      <x:c r="F4" s="30"/>
      <x:c r="G4" s="30"/>
      <x:c r="H4" s="30"/>
      <x:c r="I4" s="30"/>
      <x:c r="J4" s="30"/>
      <x:c r="K4" s="30"/>
      <x:c r="L4" s="30"/>
      <x:c r="M4" s="30"/>
    </x:row>
    <x:row r="5" ht="15" hidden="0" customHeight="1">
      <x:c r="A5" s="30" t="str">
        <x:v>USD/INR</x:v>
      </x:c>
      <x:c r="B5" s="30" t="str">
        <x:v>Rupee around 95.32 per USD on 08-Jun-2026</x:v>
      </x:c>
      <x:c r="C5" s="30" t="str">
        <x:v>https://www.reuters.com/world/india/rupees-rbi-spurred-rally-blunted-by-equity-rout-iran-us-setback-2026-06-08/</x:v>
      </x:c>
      <x:c r="D5" s="30" t="str">
        <x:v>Used to convert crypto prices from USD to INR.</x:v>
      </x:c>
      <x:c r="E5" s="30"/>
      <x:c r="F5" s="30"/>
      <x:c r="G5" s="30"/>
      <x:c r="H5" s="30"/>
      <x:c r="I5" s="30"/>
      <x:c r="J5" s="30"/>
      <x:c r="K5" s="30"/>
      <x:c r="L5" s="30"/>
      <x:c r="M5" s="30"/>
    </x:row>
    <x:row r="6" ht="15" hidden="0" customHeight="1">
      <x:c r="A6" s="30" t="str">
        <x:v>Reliance</x:v>
      </x:c>
      <x:c r="B6" s="30" t="str">
        <x:v>RIL live price/market data snapshot</x:v>
      </x:c>
      <x:c r="C6" s="30" t="str">
        <x:v>https://economictimes.indiatimes.com/reliance-industries-ltd/stocks/companyid-13215.cms</x:v>
      </x:c>
      <x:c r="D6" s="30" t="str">
        <x:v>Equity price input.</x:v>
      </x:c>
      <x:c r="E6" s="30"/>
      <x:c r="F6" s="30"/>
      <x:c r="G6" s="30"/>
      <x:c r="H6" s="30"/>
      <x:c r="I6" s="30"/>
      <x:c r="J6" s="30"/>
      <x:c r="K6" s="30"/>
      <x:c r="L6" s="30"/>
      <x:c r="M6" s="30"/>
    </x:row>
    <x:row r="7" ht="15" hidden="0" customHeight="1">
      <x:c r="A7" s="30" t="str">
        <x:v>HDFC Bank</x:v>
      </x:c>
      <x:c r="B7" s="30" t="str">
        <x:v>HDFC Bank price and market data snapshot</x:v>
      </x:c>
      <x:c r="C7" s="30" t="str">
        <x:v>https://economictimes.indiatimes.com/hdfc-bank-ltd/stocks/companyid-9195.cms</x:v>
      </x:c>
      <x:c r="D7" s="30" t="str">
        <x:v>Equity price input.</x:v>
      </x:c>
      <x:c r="E7" s="30"/>
      <x:c r="F7" s="30"/>
      <x:c r="G7" s="30"/>
      <x:c r="H7" s="30"/>
      <x:c r="I7" s="30"/>
      <x:c r="J7" s="30"/>
      <x:c r="K7" s="30"/>
      <x:c r="L7" s="30"/>
      <x:c r="M7" s="30"/>
    </x:row>
    <x:row r="8" ht="15" hidden="0" customHeight="1">
      <x:c r="A8" s="30" t="str">
        <x:v>TCS</x:v>
      </x:c>
      <x:c r="B8" s="30" t="str">
        <x:v>TCS price snapshot and recent IT-sector pressure</x:v>
      </x:c>
      <x:c r="C8" s="30" t="str">
        <x:v>https://www.moneycontrol.com/india/stockpricequote/computers-software/tataconsultancyservices/TCS</x:v>
      </x:c>
      <x:c r="D8" s="30" t="str">
        <x:v>Equity price input.</x:v>
      </x:c>
      <x:c r="E8" s="30"/>
      <x:c r="F8" s="30"/>
      <x:c r="G8" s="30"/>
      <x:c r="H8" s="30"/>
      <x:c r="I8" s="30"/>
      <x:c r="J8" s="30"/>
      <x:c r="K8" s="30"/>
      <x:c r="L8" s="30"/>
      <x:c r="M8" s="30"/>
    </x:row>
    <x:row r="9" ht="15" hidden="0" customHeight="1">
      <x:c r="A9" s="30" t="str">
        <x:v>TCS news</x:v>
      </x:c>
      <x:c r="B9" s="30" t="str">
        <x:v>IT stocks faced AI disruption concerns in early June 2026</x:v>
      </x:c>
      <x:c r="C9" s="30" t="str">
        <x:v>https://www.reuters.com/world/india/indias-it-stocks-head-worst-day-four-months-tcs-plunges-9-2026-06-03/</x:v>
      </x:c>
      <x:c r="D9" s="30" t="str">
        <x:v>Used for risk note.</x:v>
      </x:c>
      <x:c r="E9" s="30"/>
      <x:c r="F9" s="30"/>
      <x:c r="G9" s="30"/>
      <x:c r="H9" s="30"/>
      <x:c r="I9" s="30"/>
      <x:c r="J9" s="30"/>
      <x:c r="K9" s="30"/>
      <x:c r="L9" s="30"/>
      <x:c r="M9" s="30"/>
    </x:row>
    <x:row r="10" ht="15" hidden="0" customHeight="1">
      <x:c r="A10" s="30" t="str">
        <x:v>SBI Nifty 50 ETF</x:v>
      </x:c>
      <x:c r="B10" s="30" t="str">
        <x:v>ETF price/NAV snapshot</x:v>
      </x:c>
      <x:c r="C10" s="30" t="str">
        <x:v>https://groww.in/etfs/sbietf-nifty</x:v>
      </x:c>
      <x:c r="D10" s="30" t="str">
        <x:v>ETF price input.</x:v>
      </x:c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 ht="15" hidden="0" customHeight="1">
      <x:c r="A11" s="30" t="str">
        <x:v>Gold BeES</x:v>
      </x:c>
      <x:c r="B11" s="30" t="str">
        <x:v>NSE price snapshot for GOLDBEES</x:v>
      </x:c>
      <x:c r="C11" s="30" t="str">
        <x:v>https://www.nseindia.com/get-quote/equity/GOLDBEES/NIPPON-INDIA-ETF-GOLD-BEES</x:v>
      </x:c>
      <x:c r="D11" s="30" t="str">
        <x:v>ETF price input.</x:v>
      </x:c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 ht="15" hidden="0" customHeight="1">
      <x:c r="A12" s="30" t="str">
        <x:v>Crypto prices</x:v>
      </x:c>
      <x:c r="B12" s="30" t="str">
        <x:v>BTC, ETH, SOL current crypto price snapshots</x:v>
      </x:c>
      <x:c r="C12" s="30" t="str">
        <x:v>Bing Finance / web finance data</x:v>
      </x:c>
      <x:c r="D12" s="30" t="str">
        <x:v>Converted at USD/INR rate.</x:v>
      </x:c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 ht="15" hidden="0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 ht="15" hidden="0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 ht="15" hidden="0" customHeight="1">
      <x:c r="A15" s="30" t="str">
        <x:v>Recommendation</x:v>
      </x:c>
      <x:c r="B15" s="30" t="str">
        <x:v>Keep crypto capped at 15%</x:v>
      </x:c>
      <x:c r="C15" s="30" t="str">
        <x:v>Portfolio risk policy</x:v>
      </x:c>
      <x:c r="D15" s="30" t="str">
        <x:v>Crypto assets are volatile and should not dominate a beginner portfolio.</x:v>
      </x:c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 ht="15" hidden="0" customHeight="1">
      <x:c r="A16" s="30" t="str">
        <x:v>Recommendation</x:v>
      </x:c>
      <x:c r="B16" s="30" t="str">
        <x:v>Rebalance quarterly</x:v>
      </x:c>
      <x:c r="C16" s="30" t="str">
        <x:v>Portfolio risk policy</x:v>
      </x:c>
      <x:c r="D16" s="30" t="str">
        <x:v>Keeps allocations near target weights.</x:v>
      </x:c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 ht="15" hidden="0" customHeight="1">
      <x:c r="A17" s="30" t="str">
        <x:v>Recommendation</x:v>
      </x:c>
      <x:c r="B17" s="30" t="str">
        <x:v>Use ETFs for diversification</x:v>
      </x:c>
      <x:c r="C17" s="30" t="str">
        <x:v>Portfolio construction logic</x:v>
      </x:c>
      <x:c r="D17" s="30" t="str">
        <x:v>Reduces reliance on a few single stocks.</x:v>
      </x:c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 ht="15" hidden="0" customHeight="1">
      <x:c r="A18" s="30" t="str">
        <x:v>Recommendation</x:v>
      </x:c>
      <x:c r="B18" s="30" t="str">
        <x:v>Avoid leverage</x:v>
      </x:c>
      <x:c r="C18" s="30" t="str">
        <x:v>Portfolio risk policy</x:v>
      </x:c>
      <x:c r="D18" s="30" t="str">
        <x:v>Prevents large losses in volatile markets.</x:v>
      </x:c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 ht="15" hidden="0" customHeight="1">
      <x:c r="A19" s="30" t="str">
        <x:v>Recommendation</x:v>
      </x:c>
      <x:c r="B19" s="30" t="str">
        <x:v>Review news and earnings before investing</x:v>
      </x:c>
      <x:c r="C19" s="30" t="str">
        <x:v>General risk control</x:v>
      </x:c>
      <x:c r="D19" s="30" t="str">
        <x:v>Market conditions can change quickly.</x:v>
      </x:c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 ht="15" hidden="0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  <x:row r="21" ht="15" hidden="0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</x:row>
    <x:row r="22" ht="15" hidden="0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</x:row>
    <x:row r="23" ht="15" hidden="0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</x:row>
    <x:row r="24" ht="15" hidden="0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</x:row>
    <x:row r="25" ht="15" hidden="0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2890b5973ac4ad6"/>
  </x:tableParts>
</x:worksheet>
</file>